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mattern\Documents\git_project\physics\lecture_tutorials\"/>
    </mc:Choice>
  </mc:AlternateContent>
  <xr:revisionPtr revIDLastSave="0" documentId="13_ncr:1_{4477E10E-CA3E-46C7-BC4F-511A23CE9E1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Free Fall Data" sheetId="1" r:id="rId1"/>
  </sheets>
  <calcPr calcId="191029"/>
</workbook>
</file>

<file path=xl/calcChain.xml><?xml version="1.0" encoding="utf-8"?>
<calcChain xmlns="http://schemas.openxmlformats.org/spreadsheetml/2006/main">
  <c r="C14" i="1" l="1"/>
  <c r="C13" i="1"/>
  <c r="C12" i="1"/>
  <c r="C11" i="1"/>
  <c r="C10" i="1"/>
  <c r="C9" i="1"/>
  <c r="C8" i="1"/>
  <c r="C7" i="1"/>
  <c r="C6" i="1"/>
  <c r="F7" i="1" s="1"/>
  <c r="C5" i="1"/>
  <c r="F4" i="1"/>
  <c r="F6" i="1" l="1"/>
  <c r="D14" i="1"/>
  <c r="D7" i="1"/>
  <c r="D11" i="1"/>
  <c r="D5" i="1"/>
  <c r="F5" i="1"/>
  <c r="D12" i="1"/>
  <c r="D6" i="1"/>
  <c r="D9" i="1"/>
  <c r="D13" i="1"/>
  <c r="D8" i="1"/>
  <c r="D10" i="1"/>
</calcChain>
</file>

<file path=xl/sharedStrings.xml><?xml version="1.0" encoding="utf-8"?>
<sst xmlns="http://schemas.openxmlformats.org/spreadsheetml/2006/main" count="11" uniqueCount="11">
  <si>
    <t>Enter your measured data below. The sheet computes t^2, fits h = a * t^2 + b, and plots data + true regression line.</t>
  </si>
  <si>
    <t>Add more rows if needed (update the formulas &amp; chart ranges). Use consistent units: meters (m) and seconds (s).</t>
  </si>
  <si>
    <t>Height (m)</t>
  </si>
  <si>
    <t>Time (s)</t>
  </si>
  <si>
    <t>t^2 (s^2)</t>
  </si>
  <si>
    <t>Fit h (m)</t>
  </si>
  <si>
    <t>Linear fit: h = a * t^2 + b</t>
  </si>
  <si>
    <t>Slope a (m/s^2 / 2)</t>
  </si>
  <si>
    <t>g (m/s^2)</t>
  </si>
  <si>
    <t>Intercept b (m)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</si>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</sst>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Free-Fall: h vs t² with Linear Fit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data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'Free Fall Data'!$C$5:$C$14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'Free Fall Data'!$A$5:$A$14</c:f>
              <c:numCache>
                <c:formatCode>General</c:formatCode>
                <c:ptCount val="10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0-4423-89F3-F97948280B10}"/>
            </c:ext>
          </c:extLst>
        </c:ser>
        <c:ser>
          <c:idx val="1"/>
          <c:order val="1"/>
          <c:tx>
            <c:v>Linear fit (h = a t² + b)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'Free Fall Data'!$C$5:$C$14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'Free Fall Data'!$D$5:$D$14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E0-4423-89F3-F97948280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t² (s²)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pane ySplit="4" topLeftCell="A5" activePane="bottomLeft" state="frozen"/>
      <selection pane="bottomLeft" activeCell="B9" sqref="B9"/>
    </sheetView>
  </sheetViews>
  <sheetFormatPr baseColWidth="10" defaultColWidth="8.88671875"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  <c r="B3" t="s">
        <v>3</v>
      </c>
      <c r="C3" t="s">
        <v>4</v>
      </c>
      <c r="D3" t="s">
        <v>5</v>
      </c>
      <c r="F3" t="s">
        <v>6</v>
      </c>
    </row>
    <row r="4" spans="1:6" x14ac:dyDescent="0.3">
      <c r="E4" t="s">
        <v>7</v>
      </c>
      <c r="F4" t="e">
        <f>SLOPE(A5:A14, C5:C14)</f>
        <v>#DIV/0!</v>
      </c>
    </row>
    <row r="5" spans="1:6" x14ac:dyDescent="0.3">
      <c r="A5">
        <v>0.25</v>
      </c>
      <c r="B5">
        <v>0</v>
      </c>
      <c r="C5">
        <f t="shared" ref="C5:C14" si="0">B5^2</f>
        <v>0</v>
      </c>
      <c r="D5" t="e">
        <f t="shared" ref="D5:D14" si="1">$F$4*C5 + $F$6</f>
        <v>#DIV/0!</v>
      </c>
      <c r="E5" t="s">
        <v>8</v>
      </c>
      <c r="F5" t="e">
        <f>2*F4</f>
        <v>#DIV/0!</v>
      </c>
    </row>
    <row r="6" spans="1:6" x14ac:dyDescent="0.3">
      <c r="A6">
        <v>0.5</v>
      </c>
      <c r="B6">
        <v>0</v>
      </c>
      <c r="C6">
        <f t="shared" si="0"/>
        <v>0</v>
      </c>
      <c r="D6" t="e">
        <f t="shared" si="1"/>
        <v>#DIV/0!</v>
      </c>
      <c r="E6" t="s">
        <v>9</v>
      </c>
      <c r="F6" t="e">
        <f>INTERCEPT(A5:A14, C5:C14)</f>
        <v>#DIV/0!</v>
      </c>
    </row>
    <row r="7" spans="1:6" x14ac:dyDescent="0.3">
      <c r="A7">
        <v>0.75</v>
      </c>
      <c r="B7">
        <v>0</v>
      </c>
      <c r="C7">
        <f t="shared" si="0"/>
        <v>0</v>
      </c>
      <c r="D7" t="e">
        <f t="shared" si="1"/>
        <v>#DIV/0!</v>
      </c>
      <c r="E7" t="s">
        <v>10</v>
      </c>
      <c r="F7" t="e">
        <f>RSQ(A5:A14, C5:C14)</f>
        <v>#DIV/0!</v>
      </c>
    </row>
    <row r="8" spans="1:6" x14ac:dyDescent="0.3">
      <c r="A8">
        <v>1</v>
      </c>
      <c r="B8">
        <v>0</v>
      </c>
      <c r="C8">
        <f t="shared" si="0"/>
        <v>0</v>
      </c>
      <c r="D8" t="e">
        <f t="shared" si="1"/>
        <v>#DIV/0!</v>
      </c>
    </row>
    <row r="9" spans="1:6" x14ac:dyDescent="0.3">
      <c r="C9">
        <f t="shared" si="0"/>
        <v>0</v>
      </c>
      <c r="D9" t="e">
        <f t="shared" si="1"/>
        <v>#DIV/0!</v>
      </c>
    </row>
    <row r="10" spans="1:6" x14ac:dyDescent="0.3">
      <c r="C10">
        <f t="shared" si="0"/>
        <v>0</v>
      </c>
      <c r="D10" t="e">
        <f t="shared" si="1"/>
        <v>#DIV/0!</v>
      </c>
    </row>
    <row r="11" spans="1:6" x14ac:dyDescent="0.3">
      <c r="C11">
        <f t="shared" si="0"/>
        <v>0</v>
      </c>
      <c r="D11" t="e">
        <f t="shared" si="1"/>
        <v>#DIV/0!</v>
      </c>
    </row>
    <row r="12" spans="1:6" x14ac:dyDescent="0.3">
      <c r="C12">
        <f t="shared" si="0"/>
        <v>0</v>
      </c>
      <c r="D12" t="e">
        <f t="shared" si="1"/>
        <v>#DIV/0!</v>
      </c>
    </row>
    <row r="13" spans="1:6" x14ac:dyDescent="0.3">
      <c r="C13">
        <f t="shared" si="0"/>
        <v>0</v>
      </c>
      <c r="D13" t="e">
        <f t="shared" si="1"/>
        <v>#DIV/0!</v>
      </c>
    </row>
    <row r="14" spans="1:6" x14ac:dyDescent="0.3">
      <c r="C14">
        <f t="shared" si="0"/>
        <v>0</v>
      </c>
      <c r="D14" t="e">
        <f t="shared" si="1"/>
        <v>#DIV/0!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Free Fall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Hendrik Mattern</cp:lastModifiedBy>
  <dcterms:created xsi:type="dcterms:W3CDTF">2025-11-02T21:09:00Z</dcterms:created>
  <dcterms:modified xsi:type="dcterms:W3CDTF">2026-10-06T14:02:04Z</dcterms:modified>
</cp:coreProperties>
</file>